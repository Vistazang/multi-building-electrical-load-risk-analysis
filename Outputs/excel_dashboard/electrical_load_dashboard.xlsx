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3127\Desktop\study\python\暑期项目文件\Outputs\excel_dashboard\"/>
    </mc:Choice>
  </mc:AlternateContent>
  <xr:revisionPtr revIDLastSave="0" documentId="13_ncr:1_{08276E0C-8B7F-4F81-BC4D-C9713D484440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Asset Risk Summary" sheetId="4" r:id="rId1"/>
    <sheet name="Dashboard" sheetId="1" r:id="rId2"/>
  </sheets>
  <definedNames>
    <definedName name="ExternalData_1" localSheetId="0" hidden="1">'Asset Risk Summary'!$A$1:$J$9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3" i="1" s="1"/>
  <c r="M2" i="4"/>
  <c r="M3" i="4"/>
  <c r="M4" i="4"/>
  <c r="M5" i="4"/>
  <c r="M6" i="4"/>
  <c r="M7" i="4"/>
  <c r="M8" i="4"/>
  <c r="M9" i="4"/>
  <c r="L4" i="4"/>
  <c r="K2" i="4"/>
  <c r="K3" i="4"/>
  <c r="K4" i="4"/>
  <c r="K5" i="4"/>
  <c r="K6" i="4"/>
  <c r="K7" i="4"/>
  <c r="K8" i="4"/>
  <c r="K9" i="4"/>
  <c r="C17" i="4"/>
  <c r="L3" i="4" l="1"/>
  <c r="L2" i="4"/>
  <c r="L9" i="4"/>
  <c r="L8" i="4"/>
  <c r="L7" i="4"/>
  <c r="L6" i="4"/>
  <c r="L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31F697-301A-427A-B138-C1B40C69ED95}" keepAlive="1" name="Query - asset_risk_summary" description="Connection to the 'asset_risk_summary' query in the workbook." type="5" refreshedVersion="8" background="1" saveData="1">
    <dbPr connection="Provider=Microsoft.Mashup.OleDb.1;Data Source=$Workbook$;Location=asset_risk_summary;Extended Properties=&quot;&quot;" command="SELECT * FROM [asset_risk_summa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<sst xmlns="http://schemas.openxmlformats.org/spreadsheetml/2006/main" count="59" uniqueCount="46">
  <si>
    <t>building_id</t>
  </si>
  <si>
    <t>asset_id</t>
  </si>
  <si>
    <t>asset_type</t>
  </si>
  <si>
    <t>Building_A</t>
  </si>
  <si>
    <t>Lighting_Panel_A1</t>
  </si>
  <si>
    <t>Lighting Panel</t>
  </si>
  <si>
    <t>Main_Panel_A1</t>
  </si>
  <si>
    <t>Main Panel</t>
  </si>
  <si>
    <t>Transformer_A1</t>
  </si>
  <si>
    <t>Transformer</t>
  </si>
  <si>
    <t>Building_B</t>
  </si>
  <si>
    <t>HVAC_Panel_B1</t>
  </si>
  <si>
    <t>HVAC Panel</t>
  </si>
  <si>
    <t>Main_Panel_B1</t>
  </si>
  <si>
    <t>Transformer_B1</t>
  </si>
  <si>
    <t>Building_C</t>
  </si>
  <si>
    <t>EV_Charger_Panel_C1</t>
  </si>
  <si>
    <t>EV Charger Panel</t>
  </si>
  <si>
    <t>Main_Panel_C1</t>
  </si>
  <si>
    <t>max_load_percent</t>
  </si>
  <si>
    <t>average_load_percent</t>
  </si>
  <si>
    <t>max_power_kw</t>
  </si>
  <si>
    <t>min_capacity_margin_kw</t>
  </si>
  <si>
    <t>warning_hours</t>
  </si>
  <si>
    <t>high_risk_hours</t>
  </si>
  <si>
    <t>sustained_high_load_hours</t>
  </si>
  <si>
    <t>Total</t>
  </si>
  <si>
    <t>equipment_risk_index</t>
  </si>
  <si>
    <t>risk type</t>
  </si>
  <si>
    <t>normalized_risk_score</t>
  </si>
  <si>
    <t>risk proportion</t>
  </si>
  <si>
    <t>equipment_risk_category</t>
  </si>
  <si>
    <t>Electrical Load Risk Dashboard</t>
  </si>
  <si>
    <t>This dashboard summarizes relative equipment risk using normalized risk score and risk event hours from simulated electrical load data.</t>
  </si>
  <si>
    <t>Rank</t>
  </si>
  <si>
    <t>Asset ID</t>
  </si>
  <si>
    <t>Asset Type</t>
  </si>
  <si>
    <t>Score</t>
  </si>
  <si>
    <t>Risk Level</t>
  </si>
  <si>
    <t>Risk level definition</t>
  </si>
  <si>
    <t>&gt;=85</t>
  </si>
  <si>
    <t>40-84.99</t>
  </si>
  <si>
    <t>&lt;40</t>
  </si>
  <si>
    <t>High Risk:</t>
  </si>
  <si>
    <t>Medium Risk:</t>
  </si>
  <si>
    <t>Low Risk: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</si>
</sst>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Normalized Equipment Risk Score by Asset</a:t>
            </a:r>
          </a:p>
        </c:rich>
      </c:tx>
      <c:layout>
        <c:manualLayout>
          <c:xMode val="edge"/>
          <c:yMode val="edge"/>
          <c:x val="0.1718195538057742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'Asset Risk Summary'!$L$1</c:f>
              <c:strCache>
                <c:ptCount val="1"/>
                <c:pt idx="0">
                  <c:v>normalized_risk_score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Risk Summary'!$B$2:$B$9</c:f>
              <c:strCache>
                <c:ptCount val="8"/>
                <c:pt idx="0">
                  <c:v>Lighting_Panel_A1</c:v>
                </c:pt>
                <c:pt idx="1">
                  <c:v>Main_Panel_A1</c:v>
                </c:pt>
                <c:pt idx="2">
                  <c:v>Transformer_A1</c:v>
                </c:pt>
                <c:pt idx="3">
                  <c:v>HVAC_Panel_B1</c:v>
                </c:pt>
                <c:pt idx="4">
                  <c:v>Main_Panel_B1</c:v>
                </c:pt>
                <c:pt idx="5">
                  <c:v>Transformer_B1</c:v>
                </c:pt>
                <c:pt idx="6">
                  <c:v>EV_Charger_Panel_C1</c:v>
                </c:pt>
                <c:pt idx="7">
                  <c:v>Main_Panel_C1</c:v>
                </c:pt>
              </c:strCache>
            </c:strRef>
          </c:cat>
          <c:val>
            <c:numRef>
              <c:f>'Asset Risk Summary'!$L$2:$L$9</c:f>
              <c:numCache>
                <c:formatCode>General</c:formatCode>
                <c:ptCount val="8"/>
                <c:pt idx="0">
                  <c:v>10</c:v>
                </c:pt>
                <c:pt idx="1">
                  <c:v>90</c:v>
                </c:pt>
                <c:pt idx="2">
                  <c:v>80.819999999999993</c:v>
                </c:pt>
                <c:pt idx="3">
                  <c:v>73.86</c:v>
                </c:pt>
                <c:pt idx="4">
                  <c:v>83.41</c:v>
                </c:pt>
                <c:pt idx="5">
                  <c:v>81.62</c:v>
                </c:pt>
                <c:pt idx="6">
                  <c:v>32.46</c:v>
                </c:pt>
                <c:pt idx="7">
                  <c:v>83.32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9-4A4C-B45D-D9E8A609D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008303"/>
        <c:axId val="1603962703"/>
      </c:barChart>
      <c:catAx>
        <c:axId val="16040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62703"/>
        <c:crosses val="autoZero"/>
        <c:auto val="1"/>
        <c:lblAlgn val="ctr"/>
        <c:lblOffset val="100"/>
        <c:noMultiLvlLbl val="0"/>
      </c:catAx>
      <c:valAx>
        <c:axId val="16039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0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Risk Event Hours by Asset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'Asset Risk Summary'!$H$1</c:f>
              <c:strCache>
                <c:ptCount val="1"/>
                <c:pt idx="0">
                  <c:v>warning_hours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'Asset Risk Summary'!$B$2:$B$9</c:f>
              <c:strCache>
                <c:ptCount val="8"/>
                <c:pt idx="0">
                  <c:v>Lighting_Panel_A1</c:v>
                </c:pt>
                <c:pt idx="1">
                  <c:v>Main_Panel_A1</c:v>
                </c:pt>
                <c:pt idx="2">
                  <c:v>Transformer_A1</c:v>
                </c:pt>
                <c:pt idx="3">
                  <c:v>HVAC_Panel_B1</c:v>
                </c:pt>
                <c:pt idx="4">
                  <c:v>Main_Panel_B1</c:v>
                </c:pt>
                <c:pt idx="5">
                  <c:v>Transformer_B1</c:v>
                </c:pt>
                <c:pt idx="6">
                  <c:v>EV_Charger_Panel_C1</c:v>
                </c:pt>
                <c:pt idx="7">
                  <c:v>Main_Panel_C1</c:v>
                </c:pt>
              </c:strCache>
            </c:strRef>
          </c:cat>
          <c:val>
            <c:numRef>
              <c:f>'Asset Risk Summary'!$H$2:$H$9</c:f>
              <c:numCache>
                <c:formatCode>General</c:formatCode>
                <c:ptCount val="8"/>
                <c:pt idx="0">
                  <c:v>3</c:v>
                </c:pt>
                <c:pt idx="1">
                  <c:v>181</c:v>
                </c:pt>
                <c:pt idx="2">
                  <c:v>149</c:v>
                </c:pt>
                <c:pt idx="3">
                  <c:v>161</c:v>
                </c:pt>
                <c:pt idx="4">
                  <c:v>162</c:v>
                </c:pt>
                <c:pt idx="5">
                  <c:v>154</c:v>
                </c:pt>
                <c:pt idx="6">
                  <c:v>89</c:v>
                </c:pt>
                <c:pt idx="7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5-4A5F-B81D-E442713BA888}"/>
            </c:ext>
          </c:extLst>
        </c:ser>
        <c:ser>
          <c:idx val="1"/>
          <c:order val="1"/>
          <c:tx>
            <c:strRef>
              <c:f>'Asset Risk Summary'!$I$1</c:f>
              <c:strCache>
                <c:ptCount val="1"/>
                <c:pt idx="0">
                  <c:v>high_risk_hours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'Asset Risk Summary'!$B$2:$B$9</c:f>
              <c:strCache>
                <c:ptCount val="8"/>
                <c:pt idx="0">
                  <c:v>Lighting_Panel_A1</c:v>
                </c:pt>
                <c:pt idx="1">
                  <c:v>Main_Panel_A1</c:v>
                </c:pt>
                <c:pt idx="2">
                  <c:v>Transformer_A1</c:v>
                </c:pt>
                <c:pt idx="3">
                  <c:v>HVAC_Panel_B1</c:v>
                </c:pt>
                <c:pt idx="4">
                  <c:v>Main_Panel_B1</c:v>
                </c:pt>
                <c:pt idx="5">
                  <c:v>Transformer_B1</c:v>
                </c:pt>
                <c:pt idx="6">
                  <c:v>EV_Charger_Panel_C1</c:v>
                </c:pt>
                <c:pt idx="7">
                  <c:v>Main_Panel_C1</c:v>
                </c:pt>
              </c:strCache>
            </c:strRef>
          </c:cat>
          <c:val>
            <c:numRef>
              <c:f>'Asset Risk Summary'!$I$2:$I$9</c:f>
              <c:numCache>
                <c:formatCode>General</c:formatCode>
                <c:ptCount val="8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5-4A5F-B81D-E442713BA888}"/>
            </c:ext>
          </c:extLst>
        </c:ser>
        <c:ser>
          <c:idx val="2"/>
          <c:order val="2"/>
          <c:tx>
            <c:strRef>
              <c:f>'Asset Risk Summary'!$J$1</c:f>
              <c:strCache>
                <c:ptCount val="1"/>
                <c:pt idx="0">
                  <c:v>sustained_high_load_hours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Risk Summary'!$B$2:$B$9</c:f>
              <c:strCache>
                <c:ptCount val="8"/>
                <c:pt idx="0">
                  <c:v>Lighting_Panel_A1</c:v>
                </c:pt>
                <c:pt idx="1">
                  <c:v>Main_Panel_A1</c:v>
                </c:pt>
                <c:pt idx="2">
                  <c:v>Transformer_A1</c:v>
                </c:pt>
                <c:pt idx="3">
                  <c:v>HVAC_Panel_B1</c:v>
                </c:pt>
                <c:pt idx="4">
                  <c:v>Main_Panel_B1</c:v>
                </c:pt>
                <c:pt idx="5">
                  <c:v>Transformer_B1</c:v>
                </c:pt>
                <c:pt idx="6">
                  <c:v>EV_Charger_Panel_C1</c:v>
                </c:pt>
                <c:pt idx="7">
                  <c:v>Main_Panel_C1</c:v>
                </c:pt>
              </c:strCache>
            </c:strRef>
          </c:cat>
          <c:val>
            <c:numRef>
              <c:f>'Asset Risk Summary'!$J$2:$J$9</c:f>
              <c:numCache>
                <c:formatCode>General</c:formatCode>
                <c:ptCount val="8"/>
                <c:pt idx="0">
                  <c:v>0</c:v>
                </c:pt>
                <c:pt idx="1">
                  <c:v>142</c:v>
                </c:pt>
                <c:pt idx="2">
                  <c:v>131</c:v>
                </c:pt>
                <c:pt idx="3">
                  <c:v>105</c:v>
                </c:pt>
                <c:pt idx="4">
                  <c:v>132</c:v>
                </c:pt>
                <c:pt idx="5">
                  <c:v>131</c:v>
                </c:pt>
                <c:pt idx="6">
                  <c:v>0</c:v>
                </c:pt>
                <c:pt idx="7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5-4A5F-B81D-E442713B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4448447"/>
        <c:axId val="1394435967"/>
      </c:barChart>
      <c:catAx>
        <c:axId val="13944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5967"/>
        <c:crosses val="autoZero"/>
        <c:auto val="1"/>
        <c:lblAlgn val="ctr"/>
        <c:lblOffset val="100"/>
        <c:noMultiLvlLbl val="0"/>
      </c:catAx>
      <c:valAx>
        <c:axId val="13944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4</xdr:col>
      <xdr:colOff>793750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F291D-DB2B-48B7-95C8-CE70BFEDF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819150</xdr:colOff>
      <xdr:row>1</xdr:row>
      <xdr:rowOff>6350</xdr:rowOff>
    </xdr:from>
    <xdr:to>
      <xdr:col>10</xdr:col>
      <xdr:colOff>292100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333DD-5C21-4D3A-8709-53A751472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261177-AD95-48F5-87BB-C1A3ED46D0F3}" autoFormatId="16" applyNumberFormats="0" applyBorderFormats="0" applyFontFormats="0" applyPatternFormats="0" applyAlignmentFormats="0" applyWidthHeightFormats="0">
  <queryTableRefresh nextId="14" unboundColumnsRight="3">
    <queryTableFields count="13">
      <queryTableField id="1" name="building_id" tableColumnId="1"/>
      <queryTableField id="2" name="asset_id" tableColumnId="2"/>
      <queryTableField id="3" name="asset_type" tableColumnId="3"/>
      <queryTableField id="4" name="max_load_percent" tableColumnId="4"/>
      <queryTableField id="5" name="average_load_percent" tableColumnId="5"/>
      <queryTableField id="6" name="max_power_kw" tableColumnId="6"/>
      <queryTableField id="7" name="min_capacity_margin_kw" tableColumnId="7"/>
      <queryTableField id="8" name="warning_hours" tableColumnId="8"/>
      <queryTableField id="9" name="high_risk_hours" tableColumnId="9"/>
      <queryTableField id="10" name="sustained_high_load_hours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F308E-0583-42BA-96B1-DAB66337732B}" name="AssetRiskTable" displayName="AssetRiskTable" ref="A1:M9" tableType="queryTable">
  <autoFilter ref="A1:M9" xr:uid="{CEBF308E-0583-42BA-96B1-DAB6633773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F47345C-EDE9-437F-80CF-AE6532A1D398}" uniqueName="1" name="building_id" totalsRowLabel="Total" queryTableFieldId="1" dataDxfId="11"/>
    <tableColumn id="2" xr3:uid="{4F6C05AE-2D70-4884-95AB-730A29FE342B}" uniqueName="2" name="asset_id" queryTableFieldId="2" dataDxfId="10"/>
    <tableColumn id="3" xr3:uid="{3F749B31-DEE7-4122-9D58-456E27DEE1F5}" uniqueName="3" name="asset_type" queryTableFieldId="3" dataDxfId="9"/>
    <tableColumn id="4" xr3:uid="{FFCA800A-B139-46B0-B09D-64F372F1A454}" uniqueName="4" name="max_load_percent" queryTableFieldId="4"/>
    <tableColumn id="5" xr3:uid="{BE98C81B-500D-4C52-8573-E51B9E265705}" uniqueName="5" name="average_load_percent" queryTableFieldId="5"/>
    <tableColumn id="6" xr3:uid="{4509834B-E1E1-41CB-AF8D-A04F7557D05A}" uniqueName="6" name="max_power_kw" queryTableFieldId="6"/>
    <tableColumn id="7" xr3:uid="{6C4FD281-F9B1-4DB2-9E33-E4ABA718918C}" uniqueName="7" name="min_capacity_margin_kw" queryTableFieldId="7"/>
    <tableColumn id="8" xr3:uid="{832A1CB3-1C6E-4EF2-AA8E-3558A5A8144D}" uniqueName="8" name="warning_hours" queryTableFieldId="8"/>
    <tableColumn id="9" xr3:uid="{C4E217B3-3C3F-4647-A466-5FC3ABE19DFD}" uniqueName="9" name="high_risk_hours" queryTableFieldId="9"/>
    <tableColumn id="10" xr3:uid="{0707DF2C-3980-4A7B-8DE2-D1C764BA50F7}" uniqueName="10" name="sustained_high_load_hours" totalsRowFunction="sum" queryTableFieldId="10"/>
    <tableColumn id="11" xr3:uid="{75C5FDC1-2965-4DD4-9A9A-1AD0A1632308}" uniqueName="11" name="equipment_risk_index" queryTableFieldId="11" dataDxfId="8">
      <calculatedColumnFormula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calculatedColumnFormula>
    </tableColumn>
    <tableColumn id="12" xr3:uid="{FC7B8A2C-B08D-42C5-B9BB-E0D44723B86C}" uniqueName="12" name="normalized_risk_score" queryTableFieldId="12" dataDxfId="7">
      <calculatedColumnFormula>IF(MAX($K$2:$K$9)=MIN($K$2:$K$9),50,ROUND(10+(AssetRiskTable[[#This Row],[equipment_risk_index]]-MIN($K$2:$K$9))/(MAX($K$2:$K$9)-MIN($K$2:$K$9))*80,2))</calculatedColumnFormula>
    </tableColumn>
    <tableColumn id="13" xr3:uid="{AFA5D24E-73CE-4C90-A943-D778D3FED744}" uniqueName="13" name="equipment_risk_category" queryTableFieldId="13" dataDxfId="6">
      <calculatedColumnFormula>IF(AssetRiskTable[[#This Row],[normalized_risk_score]]&gt;85,"High Risk",IF(AssetRiskTable[[#This Row],[normalized_risk_score]]&gt;65,"Midium Risk","Low Risk"))</calculatedColumnFormula>
    </tableColumn>
  </tableColumns>
  <tableStyleInfo name="TableStyleMedium2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339CB7-8278-41E2-B95D-3779FDADA4D8}" name="Table2" displayName="Table2" ref="B11:C17" totalsRowCount="1" headerRowDxfId="5">
  <autoFilter ref="B11:C16" xr:uid="{98339CB7-8278-41E2-B95D-3779FDADA4D8}">
    <filterColumn colId="0" hiddenButton="1"/>
    <filterColumn colId="1" hiddenButton="1"/>
  </autoFilter>
  <tableColumns count="2">
    <tableColumn id="1" xr3:uid="{980ED420-D198-4627-911F-7B76C5F16046}" name="risk type" totalsRowLabel="Total" dataDxfId="4" totalsRowDxfId="3"/>
    <tableColumn id="2" xr3:uid="{53C2DB95-9FAA-458D-BDB8-B9D78028C5DA}" name="risk proportio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5C5D-5A6C-49D0-8834-3A4EC284A195}">
  <dimension ref="A1:M17"/>
  <sheetViews>
    <sheetView tabSelected="1" workbookViewId="0">
      <selection activeCell="I31" sqref="I31"/>
    </sheetView>
  </sheetViews>
  <sheetFormatPr defaultRowHeight="14.5"/>
  <cols>
    <col min="1" max="1" width="12.26953125" bestFit="1" customWidth="1"/>
    <col min="2" max="2" width="24.08984375" bestFit="1" customWidth="1"/>
    <col min="3" max="3" width="19.6328125" bestFit="1" customWidth="1"/>
    <col min="4" max="4" width="18.81640625" bestFit="1" customWidth="1"/>
    <col min="5" max="5" width="21.90625" bestFit="1" customWidth="1"/>
    <col min="6" max="6" width="16.54296875" hidden="1" customWidth="1"/>
    <col min="7" max="7" width="24.6328125" hidden="1" customWidth="1"/>
    <col min="8" max="8" width="15.7265625" bestFit="1" customWidth="1"/>
    <col min="9" max="9" width="16.54296875" bestFit="1" customWidth="1"/>
    <col min="10" max="10" width="26.453125" bestFit="1" customWidth="1"/>
    <col min="11" max="11" width="19.7265625" bestFit="1" customWidth="1"/>
    <col min="12" max="12" width="19.81640625" bestFit="1" customWidth="1"/>
    <col min="13" max="13" width="22.453125" bestFit="1" customWidth="1"/>
  </cols>
  <sheetData>
    <row r="1" spans="1:13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27</v>
      </c>
      <c r="L1" t="s">
        <v>29</v>
      </c>
      <c r="M1" t="s">
        <v>31</v>
      </c>
    </row>
    <row r="2" spans="1:13">
      <c r="A2" t="s">
        <v>3</v>
      </c>
      <c r="B2" t="s">
        <v>4</v>
      </c>
      <c r="C2" t="s">
        <v>5</v>
      </c>
      <c r="D2">
        <v>75.89</v>
      </c>
      <c r="E2">
        <v>36.93</v>
      </c>
      <c r="F2">
        <v>34.15</v>
      </c>
      <c r="G2">
        <v>10.85</v>
      </c>
      <c r="H2">
        <v>3</v>
      </c>
      <c r="I2">
        <v>0</v>
      </c>
      <c r="J2">
        <v>0</v>
      </c>
      <c r="K2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7.4250000000000007</v>
      </c>
      <c r="L2">
        <f>IF(MAX($K$2:$K$9)=MIN($K$2:$K$9),50,ROUND(10+(AssetRiskTable[[#This Row],[equipment_risk_index]]-MIN($K$2:$K$9))/(MAX($K$2:$K$9)-MIN($K$2:$K$9))*80,2))</f>
        <v>10</v>
      </c>
      <c r="M2" s="4" t="str">
        <f>IF(AssetRiskTable[[#This Row],[normalized_risk_score]]&gt;85,"High Risk",IF(AssetRiskTable[[#This Row],[normalized_risk_score]]&gt;65,"Midium Risk","Low Risk"))</f>
        <v>Low Risk</v>
      </c>
    </row>
    <row r="3" spans="1:13">
      <c r="A3" t="s">
        <v>3</v>
      </c>
      <c r="B3" t="s">
        <v>6</v>
      </c>
      <c r="C3" t="s">
        <v>7</v>
      </c>
      <c r="D3">
        <v>105.74</v>
      </c>
      <c r="E3">
        <v>57.17</v>
      </c>
      <c r="F3">
        <v>105.74</v>
      </c>
      <c r="G3">
        <v>-5.74</v>
      </c>
      <c r="H3">
        <v>181</v>
      </c>
      <c r="I3">
        <v>7</v>
      </c>
      <c r="J3">
        <v>142</v>
      </c>
      <c r="K3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65.257999999999996</v>
      </c>
      <c r="L3">
        <f>IF(MAX($K$2:$K$9)=MIN($K$2:$K$9),50,ROUND(10+(AssetRiskTable[[#This Row],[equipment_risk_index]]-MIN($K$2:$K$9))/(MAX($K$2:$K$9)-MIN($K$2:$K$9))*80,2))</f>
        <v>90</v>
      </c>
      <c r="M3" t="str">
        <f>IF(AssetRiskTable[[#This Row],[normalized_risk_score]]&gt;85,"High Risk",IF(AssetRiskTable[[#This Row],[normalized_risk_score]]&gt;65,"Midium Risk","Low Risk"))</f>
        <v>High Risk</v>
      </c>
    </row>
    <row r="4" spans="1:13">
      <c r="A4" t="s">
        <v>3</v>
      </c>
      <c r="B4" t="s">
        <v>8</v>
      </c>
      <c r="C4" t="s">
        <v>9</v>
      </c>
      <c r="D4">
        <v>109.11</v>
      </c>
      <c r="E4">
        <v>56.56</v>
      </c>
      <c r="F4">
        <v>163.66</v>
      </c>
      <c r="G4">
        <v>-13.66</v>
      </c>
      <c r="H4">
        <v>149</v>
      </c>
      <c r="I4">
        <v>6</v>
      </c>
      <c r="J4">
        <v>131</v>
      </c>
      <c r="K4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58.622999999999998</v>
      </c>
      <c r="L4">
        <f>IF(MAX($K$2:$K$9)=MIN($K$2:$K$9),50,ROUND(10+(AssetRiskTable[[#This Row],[equipment_risk_index]]-MIN($K$2:$K$9))/(MAX($K$2:$K$9)-MIN($K$2:$K$9))*80,2))</f>
        <v>80.819999999999993</v>
      </c>
      <c r="M4" t="str">
        <f>IF(AssetRiskTable[[#This Row],[normalized_risk_score]]&gt;85,"High Risk",IF(AssetRiskTable[[#This Row],[normalized_risk_score]]&gt;65,"Midium Risk","Low Risk"))</f>
        <v>Midium Risk</v>
      </c>
    </row>
    <row r="5" spans="1:13">
      <c r="A5" t="s">
        <v>10</v>
      </c>
      <c r="B5" t="s">
        <v>11</v>
      </c>
      <c r="C5" t="s">
        <v>12</v>
      </c>
      <c r="D5">
        <v>103.65</v>
      </c>
      <c r="E5">
        <v>50.64</v>
      </c>
      <c r="F5">
        <v>77.739999999999995</v>
      </c>
      <c r="G5">
        <v>-2.74</v>
      </c>
      <c r="H5">
        <v>161</v>
      </c>
      <c r="I5">
        <v>3</v>
      </c>
      <c r="J5">
        <v>105</v>
      </c>
      <c r="K5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53.593000000000004</v>
      </c>
      <c r="L5">
        <f>IF(MAX($K$2:$K$9)=MIN($K$2:$K$9),50,ROUND(10+(AssetRiskTable[[#This Row],[equipment_risk_index]]-MIN($K$2:$K$9))/(MAX($K$2:$K$9)-MIN($K$2:$K$9))*80,2))</f>
        <v>73.86</v>
      </c>
      <c r="M5" t="str">
        <f>IF(AssetRiskTable[[#This Row],[normalized_risk_score]]&gt;85,"High Risk",IF(AssetRiskTable[[#This Row],[normalized_risk_score]]&gt;65,"Midium Risk","Low Risk"))</f>
        <v>Midium Risk</v>
      </c>
    </row>
    <row r="6" spans="1:13">
      <c r="A6" t="s">
        <v>10</v>
      </c>
      <c r="B6" t="s">
        <v>13</v>
      </c>
      <c r="C6" t="s">
        <v>7</v>
      </c>
      <c r="D6">
        <v>105.78</v>
      </c>
      <c r="E6">
        <v>57.07</v>
      </c>
      <c r="F6">
        <v>95.2</v>
      </c>
      <c r="G6">
        <v>-5.2</v>
      </c>
      <c r="H6">
        <v>162</v>
      </c>
      <c r="I6">
        <v>6</v>
      </c>
      <c r="J6">
        <v>132</v>
      </c>
      <c r="K6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60.492000000000004</v>
      </c>
      <c r="L6">
        <f>IF(MAX($K$2:$K$9)=MIN($K$2:$K$9),50,ROUND(10+(AssetRiskTable[[#This Row],[equipment_risk_index]]-MIN($K$2:$K$9))/(MAX($K$2:$K$9)-MIN($K$2:$K$9))*80,2))</f>
        <v>83.41</v>
      </c>
      <c r="M6" t="str">
        <f>IF(AssetRiskTable[[#This Row],[normalized_risk_score]]&gt;85,"High Risk",IF(AssetRiskTable[[#This Row],[normalized_risk_score]]&gt;65,"Midium Risk","Low Risk"))</f>
        <v>Midium Risk</v>
      </c>
    </row>
    <row r="7" spans="1:13">
      <c r="A7" t="s">
        <v>10</v>
      </c>
      <c r="B7" t="s">
        <v>14</v>
      </c>
      <c r="C7" t="s">
        <v>9</v>
      </c>
      <c r="D7">
        <v>107.47</v>
      </c>
      <c r="E7">
        <v>56.5</v>
      </c>
      <c r="F7">
        <v>139.71</v>
      </c>
      <c r="G7">
        <v>-9.7100000000000009</v>
      </c>
      <c r="H7">
        <v>154</v>
      </c>
      <c r="I7">
        <v>6</v>
      </c>
      <c r="J7">
        <v>131</v>
      </c>
      <c r="K7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59.196999999999996</v>
      </c>
      <c r="L7">
        <f>IF(MAX($K$2:$K$9)=MIN($K$2:$K$9),50,ROUND(10+(AssetRiskTable[[#This Row],[equipment_risk_index]]-MIN($K$2:$K$9))/(MAX($K$2:$K$9)-MIN($K$2:$K$9))*80,2))</f>
        <v>81.62</v>
      </c>
      <c r="M7" t="str">
        <f>IF(AssetRiskTable[[#This Row],[normalized_risk_score]]&gt;85,"High Risk",IF(AssetRiskTable[[#This Row],[normalized_risk_score]]&gt;65,"Midium Risk","Low Risk"))</f>
        <v>Midium Risk</v>
      </c>
    </row>
    <row r="8" spans="1:13">
      <c r="A8" t="s">
        <v>15</v>
      </c>
      <c r="B8" t="s">
        <v>16</v>
      </c>
      <c r="C8" t="s">
        <v>17</v>
      </c>
      <c r="D8">
        <v>82.93</v>
      </c>
      <c r="E8">
        <v>48.08</v>
      </c>
      <c r="F8">
        <v>66.34</v>
      </c>
      <c r="G8">
        <v>13.66</v>
      </c>
      <c r="H8">
        <v>89</v>
      </c>
      <c r="I8">
        <v>1</v>
      </c>
      <c r="J8">
        <v>0</v>
      </c>
      <c r="K8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23.658999999999999</v>
      </c>
      <c r="L8">
        <f>IF(MAX($K$2:$K$9)=MIN($K$2:$K$9),50,ROUND(10+(AssetRiskTable[[#This Row],[equipment_risk_index]]-MIN($K$2:$K$9))/(MAX($K$2:$K$9)-MIN($K$2:$K$9))*80,2))</f>
        <v>32.46</v>
      </c>
      <c r="M8" t="str">
        <f>IF(AssetRiskTable[[#This Row],[normalized_risk_score]]&gt;85,"High Risk",IF(AssetRiskTable[[#This Row],[normalized_risk_score]]&gt;65,"Midium Risk","Low Risk"))</f>
        <v>Low Risk</v>
      </c>
    </row>
    <row r="9" spans="1:13">
      <c r="A9" t="s">
        <v>15</v>
      </c>
      <c r="B9" t="s">
        <v>18</v>
      </c>
      <c r="C9" t="s">
        <v>7</v>
      </c>
      <c r="D9">
        <v>108.02</v>
      </c>
      <c r="E9">
        <v>57.14</v>
      </c>
      <c r="F9">
        <v>118.82</v>
      </c>
      <c r="G9">
        <v>-8.82</v>
      </c>
      <c r="H9">
        <v>164</v>
      </c>
      <c r="I9">
        <v>3</v>
      </c>
      <c r="J9">
        <v>136</v>
      </c>
      <c r="K9">
        <f>MAX(0,(AssetRiskTable[[#This Row],[max_load_percent]]-80)*$C$12+AssetRiskTable[[#This Row],[average_load_percent]]*$C$13+AssetRiskTable[[#This Row],[warning_hours]]*$C$14+AssetRiskTable[[#This Row],[high_risk_hours]]*$C$15+AssetRiskTable[[#This Row],[sustained_high_load_hours]]*$C$16)</f>
        <v>60.43</v>
      </c>
      <c r="L9">
        <f>IF(MAX($K$2:$K$9)=MIN($K$2:$K$9),50,ROUND(10+(AssetRiskTable[[#This Row],[equipment_risk_index]]-MIN($K$2:$K$9))/(MAX($K$2:$K$9)-MIN($K$2:$K$9))*80,2))</f>
        <v>83.32</v>
      </c>
      <c r="M9" t="str">
        <f>IF(AssetRiskTable[[#This Row],[normalized_risk_score]]&gt;85,"High Risk",IF(AssetRiskTable[[#This Row],[normalized_risk_score]]&gt;65,"Midium Risk","Low Risk"))</f>
        <v>Midium Risk</v>
      </c>
    </row>
    <row r="11" spans="1:13" ht="18.5">
      <c r="B11" s="3" t="s">
        <v>28</v>
      </c>
      <c r="C11" s="3" t="s">
        <v>30</v>
      </c>
    </row>
    <row r="12" spans="1:13">
      <c r="A12" s="2"/>
      <c r="B12" s="2" t="s">
        <v>19</v>
      </c>
      <c r="C12">
        <v>0.1</v>
      </c>
    </row>
    <row r="13" spans="1:13">
      <c r="B13" s="2" t="s">
        <v>20</v>
      </c>
      <c r="C13">
        <v>0.2</v>
      </c>
    </row>
    <row r="14" spans="1:13">
      <c r="B14" s="2" t="s">
        <v>23</v>
      </c>
      <c r="C14">
        <v>0.15</v>
      </c>
    </row>
    <row r="15" spans="1:13">
      <c r="B15" s="2" t="s">
        <v>24</v>
      </c>
      <c r="C15">
        <v>0.4</v>
      </c>
    </row>
    <row r="16" spans="1:13">
      <c r="B16" s="2" t="s">
        <v>25</v>
      </c>
      <c r="C16">
        <v>0.15</v>
      </c>
    </row>
    <row r="17" spans="2:3">
      <c r="B17" s="2" t="s">
        <v>26</v>
      </c>
      <c r="C17">
        <f>SUBTOTAL(109,Table2[risk proportion])</f>
        <v>1</v>
      </c>
    </row>
  </sheetData>
  <conditionalFormatting sqref="L2:L9">
    <cfRule type="cellIs" dxfId="2" priority="1" operator="lessThan">
      <formula>64.99</formula>
    </cfRule>
    <cfRule type="cellIs" dxfId="1" priority="2" operator="between">
      <formula>65</formula>
      <formula>84.99</formula>
    </cfRule>
    <cfRule type="cellIs" dxfId="0" priority="3" operator="greaterThanOrEqual">
      <formula>85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>
      <selection activeCell="J20" sqref="J20"/>
    </sheetView>
  </sheetViews>
  <sheetFormatPr defaultColWidth="9" defaultRowHeight="14.5"/>
  <cols>
    <col min="1" max="1" width="10" bestFit="1" customWidth="1"/>
    <col min="2" max="2" width="19.54296875" bestFit="1" customWidth="1"/>
    <col min="3" max="3" width="15.1796875" bestFit="1" customWidth="1"/>
    <col min="4" max="4" width="9.36328125" bestFit="1" customWidth="1"/>
    <col min="5" max="5" width="11.81640625" bestFit="1" customWidth="1"/>
    <col min="6" max="6" width="18.54296875" bestFit="1" customWidth="1"/>
    <col min="7" max="7" width="15.6328125" bestFit="1" customWidth="1"/>
    <col min="12" max="12" width="12.08984375" bestFit="1" customWidth="1"/>
    <col min="13" max="14" width="14.54296875" bestFit="1" customWidth="1"/>
    <col min="15" max="15" width="10.26953125" customWidth="1"/>
    <col min="16" max="16" width="11" bestFit="1" customWidth="1"/>
    <col min="17" max="17" width="10.26953125" customWidth="1"/>
  </cols>
  <sheetData>
    <row r="1" spans="1:17" ht="25.5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7">
      <c r="A2" s="1"/>
      <c r="B2" s="1"/>
      <c r="C2" s="1"/>
      <c r="D2" s="1"/>
      <c r="E2" s="1"/>
      <c r="F2" s="1"/>
      <c r="G2" s="1"/>
      <c r="L2" t="s">
        <v>34</v>
      </c>
      <c r="M2" t="s">
        <v>35</v>
      </c>
      <c r="N2" s="5" t="s">
        <v>36</v>
      </c>
      <c r="O2" s="5" t="s">
        <v>37</v>
      </c>
      <c r="P2" s="5" t="s">
        <v>38</v>
      </c>
      <c r="Q2" s="5"/>
    </row>
    <row r="3" spans="1:17">
      <c r="A3" s="1"/>
      <c r="B3" s="1"/>
      <c r="C3" s="1"/>
      <c r="D3" s="1"/>
      <c r="E3" s="1"/>
      <c r="F3" s="1"/>
      <c r="G3" s="1"/>
      <c r="L3">
        <v>1</v>
      </c>
      <c r="M3" t="str" cm="1">
        <f t="array" ref="M3:P7">_xlfn.TAKE(_xlfn.SORTBY(_xlfn.HSTACK(AssetRiskTable[asset_id],AssetRiskTable[asset_type],AssetRiskTable[normalized_risk_score],AssetRiskTable[equipment_risk_category]),AssetRiskTable[normalized_risk_score],-1),5)</f>
        <v>Main_Panel_A1</v>
      </c>
      <c r="N3" t="str">
        <v>Main Panel</v>
      </c>
      <c r="O3">
        <v>90</v>
      </c>
      <c r="P3" t="str">
        <v>High Risk</v>
      </c>
    </row>
    <row r="4" spans="1:17">
      <c r="A4" s="1"/>
      <c r="B4" s="1"/>
      <c r="C4" s="1"/>
      <c r="D4" s="1"/>
      <c r="E4" s="1"/>
      <c r="F4" s="1"/>
      <c r="G4" s="1"/>
      <c r="L4">
        <v>2</v>
      </c>
      <c r="M4" t="str">
        <v>Main_Panel_B1</v>
      </c>
      <c r="N4" t="str">
        <v>Main Panel</v>
      </c>
      <c r="O4">
        <v>83.41</v>
      </c>
      <c r="P4" t="str">
        <v>Midium Risk</v>
      </c>
    </row>
    <row r="5" spans="1:17">
      <c r="A5" s="1"/>
      <c r="B5" s="1"/>
      <c r="C5" s="1"/>
      <c r="D5" s="1"/>
      <c r="E5" s="1"/>
      <c r="F5" s="1"/>
      <c r="G5" s="1"/>
      <c r="L5">
        <v>3</v>
      </c>
      <c r="M5" t="str">
        <v>Main_Panel_C1</v>
      </c>
      <c r="N5" t="str">
        <v>Main Panel</v>
      </c>
      <c r="O5">
        <v>83.32</v>
      </c>
      <c r="P5" t="str">
        <v>Midium Risk</v>
      </c>
    </row>
    <row r="6" spans="1:17">
      <c r="A6" s="1"/>
      <c r="B6" s="1"/>
      <c r="C6" s="1"/>
      <c r="D6" s="1"/>
      <c r="E6" s="1"/>
      <c r="F6" s="1"/>
      <c r="G6" s="1"/>
      <c r="L6">
        <v>4</v>
      </c>
      <c r="M6" t="str">
        <v>Transformer_B1</v>
      </c>
      <c r="N6" t="str">
        <v>Transformer</v>
      </c>
      <c r="O6">
        <v>81.62</v>
      </c>
      <c r="P6" t="str">
        <v>Midium Risk</v>
      </c>
    </row>
    <row r="7" spans="1:17">
      <c r="A7" s="1"/>
      <c r="B7" s="1"/>
      <c r="C7" s="1"/>
      <c r="D7" s="1"/>
      <c r="E7" s="1"/>
      <c r="F7" s="1"/>
      <c r="G7" s="1"/>
      <c r="L7">
        <v>5</v>
      </c>
      <c r="M7" t="str">
        <v>Transformer_A1</v>
      </c>
      <c r="N7" t="str">
        <v>Transformer</v>
      </c>
      <c r="O7">
        <v>80.819999999999993</v>
      </c>
      <c r="P7" t="str">
        <v>Midium Risk</v>
      </c>
    </row>
    <row r="8" spans="1:17">
      <c r="A8" s="1"/>
      <c r="B8" s="1"/>
      <c r="C8" s="1"/>
      <c r="D8" s="1"/>
      <c r="E8" s="1"/>
      <c r="F8" s="1"/>
      <c r="G8" s="1"/>
    </row>
    <row r="9" spans="1:17">
      <c r="A9" s="1"/>
      <c r="B9" s="1"/>
      <c r="C9" s="1"/>
      <c r="D9" s="1"/>
      <c r="E9" s="1"/>
      <c r="F9" s="1"/>
      <c r="G9" s="1"/>
      <c r="L9" s="8" t="s">
        <v>39</v>
      </c>
      <c r="M9" s="8"/>
      <c r="N9" s="8"/>
    </row>
    <row r="10" spans="1:17">
      <c r="L10" s="7" t="s">
        <v>43</v>
      </c>
      <c r="M10" s="7"/>
      <c r="N10" t="s">
        <v>40</v>
      </c>
    </row>
    <row r="11" spans="1:17">
      <c r="L11" s="7" t="s">
        <v>44</v>
      </c>
      <c r="M11" s="7"/>
      <c r="N11" t="s">
        <v>41</v>
      </c>
    </row>
    <row r="12" spans="1:17">
      <c r="L12" s="7" t="s">
        <v>45</v>
      </c>
      <c r="M12" s="7"/>
      <c r="N12" t="s">
        <v>42</v>
      </c>
    </row>
    <row r="17" spans="1:1">
      <c r="A17" t="s">
        <v>33</v>
      </c>
    </row>
  </sheetData>
  <mergeCells count="5">
    <mergeCell ref="A1:M1"/>
    <mergeCell ref="L10:M10"/>
    <mergeCell ref="L11:M11"/>
    <mergeCell ref="L12:M12"/>
    <mergeCell ref="L9:N9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2FE1C-F4D5-4007-B514-EA8E2EA29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Risk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zang</dc:creator>
  <cp:lastModifiedBy>kzang@student.ubc.ca</cp:lastModifiedBy>
  <dcterms:created xsi:type="dcterms:W3CDTF">2023-05-12T11:15:00Z</dcterms:created>
  <dcterms:modified xsi:type="dcterms:W3CDTF">2026-06-28T04:53:54Z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